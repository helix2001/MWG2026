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avpt-my.sharepoint.com/personal/paulo_raposo_nav_pt1/Documents/MWG/devel/"/>
    </mc:Choice>
  </mc:AlternateContent>
  <xr:revisionPtr revIDLastSave="54" documentId="11_F25DC773A252ABDACC10489EF9DA51745ADE58EF" xr6:coauthVersionLast="47" xr6:coauthVersionMax="47" xr10:uidLastSave="{A3110190-24C3-4DB3-85C5-EBFCCE466019}"/>
  <bookViews>
    <workbookView xWindow="-108" yWindow="-108" windowWidth="23256" windowHeight="13896" activeTab="1" xr2:uid="{00000000-000D-0000-FFFF-FFFF00000000}"/>
  </bookViews>
  <sheets>
    <sheet name="summary" sheetId="2" r:id="rId1"/>
    <sheet name="Sheet1" sheetId="1" r:id="rId2"/>
  </sheets>
  <definedNames>
    <definedName name="_xlchart.v1.0" hidden="1">Sheet1!$A$2</definedName>
    <definedName name="_xlchart.v1.1" hidden="1">Sheet1!$B$2:$D$2</definedName>
    <definedName name="_xlchart.v1.2" hidden="1">Sheet1!$A$2</definedName>
    <definedName name="_xlchart.v1.3" hidden="1">Sheet1!$B$2:$D$2</definedName>
    <definedName name="_xlchart.v1.4" hidden="1">Sheet1!$A$2</definedName>
    <definedName name="_xlchart.v1.5" hidden="1">Sheet1!$B$1:$D$1</definedName>
    <definedName name="_xlchart.v1.6" hidden="1">Sheet1!$B$2:$D$2</definedName>
    <definedName name="ExternalData_1" localSheetId="0" hidden="1">summary!$A$1:$F$26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H27" i="1"/>
  <c r="F27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H2" i="1"/>
  <c r="G2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2938B6-46EA-4B5D-B007-20DE580246F6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<sst xmlns="http://schemas.openxmlformats.org/spreadsheetml/2006/main" count="65" uniqueCount="37">
  <si>
    <t>Airline</t>
  </si>
  <si>
    <t>Slop0</t>
  </si>
  <si>
    <t>Slop1</t>
  </si>
  <si>
    <t>Slop2</t>
  </si>
  <si>
    <t>Total</t>
  </si>
  <si>
    <t>Slop</t>
  </si>
  <si>
    <t>IBE</t>
  </si>
  <si>
    <t>TAP</t>
  </si>
  <si>
    <t>AFR</t>
  </si>
  <si>
    <t>AEA</t>
  </si>
  <si>
    <t>AVA</t>
  </si>
  <si>
    <t>UAL</t>
  </si>
  <si>
    <t>KLM</t>
  </si>
  <si>
    <t>BAW</t>
  </si>
  <si>
    <t>AAL</t>
  </si>
  <si>
    <t>EXS</t>
  </si>
  <si>
    <t>DAL</t>
  </si>
  <si>
    <t>FWI</t>
  </si>
  <si>
    <t>RAM</t>
  </si>
  <si>
    <t>QTR</t>
  </si>
  <si>
    <t>AMX</t>
  </si>
  <si>
    <t>CRL</t>
  </si>
  <si>
    <t>RZO</t>
  </si>
  <si>
    <t>THY</t>
  </si>
  <si>
    <t>ACA</t>
  </si>
  <si>
    <t>PUE</t>
  </si>
  <si>
    <t>VIR</t>
  </si>
  <si>
    <t>UAE</t>
  </si>
  <si>
    <t>WFL</t>
  </si>
  <si>
    <t>DLH</t>
  </si>
  <si>
    <t>CFG</t>
  </si>
  <si>
    <t>% SLOP2</t>
  </si>
  <si>
    <t>% SLOP1</t>
  </si>
  <si>
    <t>% SLOP0</t>
  </si>
  <si>
    <t>SLOP 0</t>
  </si>
  <si>
    <t>SLOP 1</t>
  </si>
  <si>
    <t>SLOP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</si>
</sst>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IBE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SLOP 0</c:v>
                </c:pt>
                <c:pt idx="1">
                  <c:v>SLOP 1</c:v>
                </c:pt>
                <c:pt idx="2">
                  <c:v>SLOP 2</c:v>
                </c:pt>
              </c:strCache>
            </c:strRef>
          </c:cat>
          <c:val>
            <c:numRef>
              <c:f>Sheet1!$F$2:$H$2</c:f>
              <c:numCache>
                <c:formatCode>0.0%</c:formatCode>
                <c:ptCount val="3"/>
                <c:pt idx="0">
                  <c:v>0.7199428545917228</c:v>
                </c:pt>
                <c:pt idx="1">
                  <c:v>0.14532585589329194</c:v>
                </c:pt>
                <c:pt idx="2">
                  <c:v>0.13473128951498523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A-432F-8B54-28538171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76208"/>
        <c:axId val="185777168"/>
      </c:barChart>
      <c:catAx>
        <c:axId val="1857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5777168"/>
        <c:crosses val="autoZero"/>
        <c:auto val="1"/>
        <c:lblAlgn val="ctr"/>
        <c:lblOffset val="100"/>
        <c:noMultiLvlLbl val="0"/>
      </c:catAx>
      <c:valAx>
        <c:axId val="1857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577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SLOP 0</c:v>
                </c:pt>
                <c:pt idx="1">
                  <c:v>SLOP 1</c:v>
                </c:pt>
                <c:pt idx="2">
                  <c:v>SLOP 2</c:v>
                </c:pt>
              </c:strCache>
            </c:strRef>
          </c:cat>
          <c:val>
            <c:numRef>
              <c:f>Sheet1!$F$3:$H$3</c:f>
              <c:numCache>
                <c:formatCode>0.0%</c:formatCode>
                <c:ptCount val="3"/>
                <c:pt idx="0">
                  <c:v>8.5351153700668259E-2</c:v>
                </c:pt>
                <c:pt idx="1">
                  <c:v>0.89350145000630432</c:v>
                </c:pt>
                <c:pt idx="2">
                  <c:v>2.1147396293027362E-2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E-4BC9-870B-32DBB796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123744"/>
        <c:axId val="611124224"/>
      </c:barChart>
      <c:catAx>
        <c:axId val="6111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1124224"/>
        <c:crosses val="autoZero"/>
        <c:auto val="1"/>
        <c:lblAlgn val="ctr"/>
        <c:lblOffset val="100"/>
        <c:noMultiLvlLbl val="0"/>
      </c:catAx>
      <c:valAx>
        <c:axId val="6111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11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CRL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SLOP 0</c:v>
                </c:pt>
                <c:pt idx="1">
                  <c:v>SLOP 1</c:v>
                </c:pt>
                <c:pt idx="2">
                  <c:v>SLOP 2</c:v>
                </c:pt>
              </c:strCache>
            </c:strRef>
          </c:cat>
          <c:val>
            <c:numRef>
              <c:f>Sheet1!$F$17:$H$17</c:f>
              <c:numCache>
                <c:formatCode>0.0%</c:formatCode>
                <c:ptCount val="3"/>
                <c:pt idx="0">
                  <c:v>0.37518492137417125</c:v>
                </c:pt>
                <c:pt idx="1">
                  <c:v>0.31754424415100541</c:v>
                </c:pt>
                <c:pt idx="2">
                  <c:v>0.30727083447482328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4-488C-A5FB-C244C198B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42432"/>
        <c:axId val="193443872"/>
      </c:barChart>
      <c:catAx>
        <c:axId val="1934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443872"/>
        <c:crosses val="autoZero"/>
        <c:auto val="1"/>
        <c:lblAlgn val="ctr"/>
        <c:lblOffset val="100"/>
        <c:noMultiLvlLbl val="0"/>
      </c:catAx>
      <c:valAx>
        <c:axId val="1934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4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Sheet1!$A$22</c:f>
              <c:strCache>
                <c:ptCount val="1"/>
                <c:pt idx="0">
                  <c:v>VIR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SLOP 0</c:v>
                </c:pt>
                <c:pt idx="1">
                  <c:v>SLOP 1</c:v>
                </c:pt>
                <c:pt idx="2">
                  <c:v>SLOP 2</c:v>
                </c:pt>
              </c:strCache>
            </c:strRef>
          </c:cat>
          <c:val>
            <c:numRef>
              <c:f>Sheet1!$F$22:$H$22</c:f>
              <c:numCache>
                <c:formatCode>0.0%</c:formatCode>
                <c:ptCount val="3"/>
                <c:pt idx="0">
                  <c:v>0.38575393154486587</c:v>
                </c:pt>
                <c:pt idx="1">
                  <c:v>0.32714153561517112</c:v>
                </c:pt>
                <c:pt idx="2">
                  <c:v>0.28710453283996301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2-4952-86BD-1858764C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522592"/>
        <c:axId val="279524992"/>
      </c:barChart>
      <c:catAx>
        <c:axId val="2795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524992"/>
        <c:crosses val="autoZero"/>
        <c:auto val="1"/>
        <c:lblAlgn val="ctr"/>
        <c:lblOffset val="100"/>
        <c:noMultiLvlLbl val="0"/>
      </c:catAx>
      <c:valAx>
        <c:axId val="2795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5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19050</xdr:rowOff>
    </xdr:from>
    <xdr:to>
      <xdr:col>16</xdr:col>
      <xdr:colOff>381000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9A66FB-ACBB-9C10-B391-3E68E5FC5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16</xdr:row>
      <xdr:rowOff>64770</xdr:rowOff>
    </xdr:from>
    <xdr:to>
      <xdr:col>16</xdr:col>
      <xdr:colOff>358140</xdr:colOff>
      <xdr:row>31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396FD4-6F99-7A8F-58E9-334F5B683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373380</xdr:colOff>
      <xdr:row>27</xdr:row>
      <xdr:rowOff>57150</xdr:rowOff>
    </xdr:from>
    <xdr:to>
      <xdr:col>8</xdr:col>
      <xdr:colOff>68580</xdr:colOff>
      <xdr:row>42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29BCA3-D4C1-2188-7366-9AF97F19F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60960</xdr:colOff>
      <xdr:row>32</xdr:row>
      <xdr:rowOff>19050</xdr:rowOff>
    </xdr:from>
    <xdr:to>
      <xdr:col>16</xdr:col>
      <xdr:colOff>365760</xdr:colOff>
      <xdr:row>47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7F2873-B08A-0BF5-913B-9AEAE43A0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61B022-F512-46B7-8049-6EBCD6B6299E}" autoFormatId="16" applyNumberFormats="0" applyBorderFormats="0" applyFontFormats="0" applyPatternFormats="0" applyAlignmentFormats="0" applyWidthHeightFormats="0">
  <queryTableRefresh nextId="7">
    <queryTableFields count="6">
      <queryTableField id="1" name="Airline" tableColumnId="1"/>
      <queryTableField id="2" name="Slop0" tableColumnId="2"/>
      <queryTableField id="3" name="Slop1" tableColumnId="3"/>
      <queryTableField id="4" name="Slop2" tableColumnId="4"/>
      <queryTableField id="5" name="Total" tableColumnId="5"/>
      <queryTableField id="6" name="Sl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45E42-2D38-47E3-B293-9A938D435DCB}" name="summary" displayName="summary" ref="A1:F26" tableType="queryTable" totalsRowShown="0">
  <autoFilter ref="A1:F26" xr:uid="{15F45E42-2D38-47E3-B293-9A938D435DCB}"/>
  <tableColumns count="6">
    <tableColumn id="1" xr3:uid="{16CEE060-6418-4948-AB86-92FD7027597D}" uniqueName="1" name="Airline" queryTableFieldId="1" dataDxfId="0"/>
    <tableColumn id="2" xr3:uid="{177B00A5-44D7-4E4C-AE1D-538D7DB6C4AF}" uniqueName="2" name="Slop0" queryTableFieldId="2"/>
    <tableColumn id="3" xr3:uid="{8E5597F5-5EF6-4A88-AE29-24446E1BA52F}" uniqueName="3" name="Slop1" queryTableFieldId="3"/>
    <tableColumn id="4" xr3:uid="{C317B49C-625E-4D0C-AF74-1B7EDCB68E3D}" uniqueName="4" name="Slop2" queryTableFieldId="4"/>
    <tableColumn id="5" xr3:uid="{45A8CE10-8190-40CF-B868-81EC3F66CD93}" uniqueName="5" name="Total" queryTableFieldId="5"/>
    <tableColumn id="6" xr3:uid="{3964566A-65D3-4EB3-B6FC-98420B31BA36}" uniqueName="6" name="Slo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BA91-027D-4CCA-8E2A-7D478641CEC1}">
  <dimension ref="A1:F26"/>
  <sheetViews>
    <sheetView workbookViewId="0">
      <selection sqref="A1:F1048576"/>
    </sheetView>
  </sheetViews>
  <sheetFormatPr defaultRowHeight="14.4" x14ac:dyDescent="0.3"/>
  <cols>
    <col min="1" max="1" width="8.5546875" bestFit="1" customWidth="1"/>
    <col min="2" max="4" width="7.88671875" bestFit="1" customWidth="1"/>
    <col min="5" max="5" width="7.44140625" bestFit="1" customWidth="1"/>
    <col min="6" max="6" width="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209638</v>
      </c>
      <c r="C2">
        <v>42317</v>
      </c>
      <c r="D2">
        <v>39232</v>
      </c>
      <c r="E2">
        <v>291187</v>
      </c>
      <c r="F2">
        <v>0</v>
      </c>
    </row>
    <row r="3" spans="1:6" x14ac:dyDescent="0.3">
      <c r="A3" s="1" t="s">
        <v>7</v>
      </c>
      <c r="B3">
        <v>16923</v>
      </c>
      <c r="C3">
        <v>177159</v>
      </c>
      <c r="D3">
        <v>4193</v>
      </c>
      <c r="E3">
        <v>198275</v>
      </c>
      <c r="F3">
        <v>1</v>
      </c>
    </row>
    <row r="4" spans="1:6" x14ac:dyDescent="0.3">
      <c r="A4" s="1" t="s">
        <v>8</v>
      </c>
      <c r="B4">
        <v>93636</v>
      </c>
      <c r="C4">
        <v>54031</v>
      </c>
      <c r="D4">
        <v>23873</v>
      </c>
      <c r="E4">
        <v>171540</v>
      </c>
      <c r="F4">
        <v>0</v>
      </c>
    </row>
    <row r="5" spans="1:6" x14ac:dyDescent="0.3">
      <c r="A5" s="1" t="s">
        <v>9</v>
      </c>
      <c r="B5">
        <v>70983</v>
      </c>
      <c r="C5">
        <v>43801</v>
      </c>
      <c r="D5">
        <v>40977</v>
      </c>
      <c r="E5">
        <v>155761</v>
      </c>
      <c r="F5">
        <v>0</v>
      </c>
    </row>
    <row r="6" spans="1:6" x14ac:dyDescent="0.3">
      <c r="A6" s="1" t="s">
        <v>10</v>
      </c>
      <c r="B6">
        <v>23970</v>
      </c>
      <c r="C6">
        <v>69755</v>
      </c>
      <c r="D6">
        <v>9215</v>
      </c>
      <c r="E6">
        <v>102940</v>
      </c>
      <c r="F6">
        <v>1</v>
      </c>
    </row>
    <row r="7" spans="1:6" x14ac:dyDescent="0.3">
      <c r="A7" s="1" t="s">
        <v>11</v>
      </c>
      <c r="B7">
        <v>64542</v>
      </c>
      <c r="C7">
        <v>23597</v>
      </c>
      <c r="D7">
        <v>9748</v>
      </c>
      <c r="E7">
        <v>97887</v>
      </c>
      <c r="F7">
        <v>0</v>
      </c>
    </row>
    <row r="8" spans="1:6" x14ac:dyDescent="0.3">
      <c r="A8" s="1" t="s">
        <v>12</v>
      </c>
      <c r="B8">
        <v>61151</v>
      </c>
      <c r="C8">
        <v>24223</v>
      </c>
      <c r="D8">
        <v>4590</v>
      </c>
      <c r="E8">
        <v>89964</v>
      </c>
      <c r="F8">
        <v>0</v>
      </c>
    </row>
    <row r="9" spans="1:6" x14ac:dyDescent="0.3">
      <c r="A9" s="1" t="s">
        <v>13</v>
      </c>
      <c r="B9">
        <v>62764</v>
      </c>
      <c r="C9">
        <v>17142</v>
      </c>
      <c r="D9">
        <v>7644</v>
      </c>
      <c r="E9">
        <v>87550</v>
      </c>
      <c r="F9">
        <v>0</v>
      </c>
    </row>
    <row r="10" spans="1:6" x14ac:dyDescent="0.3">
      <c r="A10" s="1" t="s">
        <v>14</v>
      </c>
      <c r="B10">
        <v>61707</v>
      </c>
      <c r="C10">
        <v>16576</v>
      </c>
      <c r="D10">
        <v>9094</v>
      </c>
      <c r="E10">
        <v>87377</v>
      </c>
      <c r="F10">
        <v>0</v>
      </c>
    </row>
    <row r="11" spans="1:6" x14ac:dyDescent="0.3">
      <c r="A11" s="1" t="s">
        <v>15</v>
      </c>
      <c r="B11">
        <v>66675</v>
      </c>
      <c r="C11">
        <v>11098</v>
      </c>
      <c r="D11">
        <v>6877</v>
      </c>
      <c r="E11">
        <v>84650</v>
      </c>
      <c r="F11">
        <v>0</v>
      </c>
    </row>
    <row r="12" spans="1:6" x14ac:dyDescent="0.3">
      <c r="A12" s="1" t="s">
        <v>16</v>
      </c>
      <c r="B12">
        <v>52033</v>
      </c>
      <c r="C12">
        <v>18369</v>
      </c>
      <c r="D12">
        <v>6609</v>
      </c>
      <c r="E12">
        <v>77011</v>
      </c>
      <c r="F12">
        <v>0</v>
      </c>
    </row>
    <row r="13" spans="1:6" x14ac:dyDescent="0.3">
      <c r="A13" s="1" t="s">
        <v>17</v>
      </c>
      <c r="B13">
        <v>47245</v>
      </c>
      <c r="C13">
        <v>8416</v>
      </c>
      <c r="D13">
        <v>8262</v>
      </c>
      <c r="E13">
        <v>63923</v>
      </c>
      <c r="F13">
        <v>0</v>
      </c>
    </row>
    <row r="14" spans="1:6" x14ac:dyDescent="0.3">
      <c r="A14" s="1" t="s">
        <v>18</v>
      </c>
      <c r="B14">
        <v>41811</v>
      </c>
      <c r="C14">
        <v>7765</v>
      </c>
      <c r="D14">
        <v>442</v>
      </c>
      <c r="E14">
        <v>50018</v>
      </c>
      <c r="F14">
        <v>0</v>
      </c>
    </row>
    <row r="15" spans="1:6" x14ac:dyDescent="0.3">
      <c r="A15" s="1" t="s">
        <v>19</v>
      </c>
      <c r="B15">
        <v>29854</v>
      </c>
      <c r="C15">
        <v>5914</v>
      </c>
      <c r="D15">
        <v>4051</v>
      </c>
      <c r="E15">
        <v>39819</v>
      </c>
      <c r="F15">
        <v>0</v>
      </c>
    </row>
    <row r="16" spans="1:6" x14ac:dyDescent="0.3">
      <c r="A16" s="1" t="s">
        <v>20</v>
      </c>
      <c r="B16">
        <v>13868</v>
      </c>
      <c r="C16">
        <v>18299</v>
      </c>
      <c r="D16">
        <v>5230</v>
      </c>
      <c r="E16">
        <v>37397</v>
      </c>
      <c r="F16">
        <v>1</v>
      </c>
    </row>
    <row r="17" spans="1:6" x14ac:dyDescent="0.3">
      <c r="A17" s="1" t="s">
        <v>21</v>
      </c>
      <c r="B17">
        <v>13695</v>
      </c>
      <c r="C17">
        <v>11591</v>
      </c>
      <c r="D17">
        <v>11216</v>
      </c>
      <c r="E17">
        <v>36502</v>
      </c>
      <c r="F17">
        <v>0</v>
      </c>
    </row>
    <row r="18" spans="1:6" x14ac:dyDescent="0.3">
      <c r="A18" s="1" t="s">
        <v>22</v>
      </c>
      <c r="B18">
        <v>26460</v>
      </c>
      <c r="C18">
        <v>6599</v>
      </c>
      <c r="D18">
        <v>3123</v>
      </c>
      <c r="E18">
        <v>36182</v>
      </c>
      <c r="F18">
        <v>0</v>
      </c>
    </row>
    <row r="19" spans="1:6" x14ac:dyDescent="0.3">
      <c r="A19" s="1" t="s">
        <v>23</v>
      </c>
      <c r="B19">
        <v>11945</v>
      </c>
      <c r="C19">
        <v>15776</v>
      </c>
      <c r="D19">
        <v>5222</v>
      </c>
      <c r="E19">
        <v>32943</v>
      </c>
      <c r="F19">
        <v>1</v>
      </c>
    </row>
    <row r="20" spans="1:6" x14ac:dyDescent="0.3">
      <c r="A20" s="1" t="s">
        <v>24</v>
      </c>
      <c r="B20">
        <v>21840</v>
      </c>
      <c r="C20">
        <v>5003</v>
      </c>
      <c r="D20">
        <v>3640</v>
      </c>
      <c r="E20">
        <v>30483</v>
      </c>
      <c r="F20">
        <v>0</v>
      </c>
    </row>
    <row r="21" spans="1:6" x14ac:dyDescent="0.3">
      <c r="A21" s="1" t="s">
        <v>25</v>
      </c>
      <c r="B21">
        <v>27544</v>
      </c>
      <c r="C21">
        <v>1840</v>
      </c>
      <c r="D21">
        <v>1016</v>
      </c>
      <c r="E21">
        <v>30400</v>
      </c>
      <c r="F21">
        <v>0</v>
      </c>
    </row>
    <row r="22" spans="1:6" x14ac:dyDescent="0.3">
      <c r="A22" s="1" t="s">
        <v>26</v>
      </c>
      <c r="B22">
        <v>10425</v>
      </c>
      <c r="C22">
        <v>8841</v>
      </c>
      <c r="D22">
        <v>7759</v>
      </c>
      <c r="E22">
        <v>27025</v>
      </c>
      <c r="F22">
        <v>0</v>
      </c>
    </row>
    <row r="23" spans="1:6" x14ac:dyDescent="0.3">
      <c r="A23" s="1" t="s">
        <v>27</v>
      </c>
      <c r="B23">
        <v>8617</v>
      </c>
      <c r="C23">
        <v>10693</v>
      </c>
      <c r="D23">
        <v>7674</v>
      </c>
      <c r="E23">
        <v>26984</v>
      </c>
      <c r="F23">
        <v>1</v>
      </c>
    </row>
    <row r="24" spans="1:6" x14ac:dyDescent="0.3">
      <c r="A24" s="1" t="s">
        <v>28</v>
      </c>
      <c r="B24">
        <v>23202</v>
      </c>
      <c r="C24">
        <v>2172</v>
      </c>
      <c r="D24">
        <v>1410</v>
      </c>
      <c r="E24">
        <v>26784</v>
      </c>
      <c r="F24">
        <v>0</v>
      </c>
    </row>
    <row r="25" spans="1:6" x14ac:dyDescent="0.3">
      <c r="A25" s="1" t="s">
        <v>29</v>
      </c>
      <c r="B25">
        <v>13764</v>
      </c>
      <c r="C25">
        <v>8995</v>
      </c>
      <c r="D25">
        <v>3855</v>
      </c>
      <c r="E25">
        <v>26614</v>
      </c>
      <c r="F25">
        <v>0</v>
      </c>
    </row>
    <row r="26" spans="1:6" x14ac:dyDescent="0.3">
      <c r="A26" s="1" t="s">
        <v>30</v>
      </c>
      <c r="B26">
        <v>15114</v>
      </c>
      <c r="C26">
        <v>6181</v>
      </c>
      <c r="D26">
        <v>3329</v>
      </c>
      <c r="E26">
        <v>24624</v>
      </c>
      <c r="F2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F27" sqref="F27:H27"/>
    </sheetView>
  </sheetViews>
  <sheetFormatPr defaultRowHeight="14.4" x14ac:dyDescent="0.3"/>
  <sheetData>
    <row r="1" spans="1:9" x14ac:dyDescent="0.3">
      <c r="A1" t="s">
        <v>0</v>
      </c>
      <c r="B1" t="s">
        <v>34</v>
      </c>
      <c r="C1" t="s">
        <v>35</v>
      </c>
      <c r="D1" t="s">
        <v>36</v>
      </c>
      <c r="E1" t="s">
        <v>4</v>
      </c>
      <c r="F1" s="2" t="s">
        <v>33</v>
      </c>
      <c r="G1" t="s">
        <v>32</v>
      </c>
      <c r="H1" s="2" t="s">
        <v>31</v>
      </c>
      <c r="I1" t="s">
        <v>5</v>
      </c>
    </row>
    <row r="2" spans="1:9" x14ac:dyDescent="0.3">
      <c r="A2" t="s">
        <v>6</v>
      </c>
      <c r="B2">
        <v>209638</v>
      </c>
      <c r="C2">
        <v>42317</v>
      </c>
      <c r="D2">
        <v>39232</v>
      </c>
      <c r="E2">
        <v>291187</v>
      </c>
      <c r="F2" s="3">
        <f>B2/$E2</f>
        <v>0.7199428545917228</v>
      </c>
      <c r="G2" s="3">
        <f>C2/$E2</f>
        <v>0.14532585589329194</v>
      </c>
      <c r="H2" s="3">
        <f>D2/$E2</f>
        <v>0.13473128951498523</v>
      </c>
      <c r="I2">
        <v>0</v>
      </c>
    </row>
    <row r="3" spans="1:9" x14ac:dyDescent="0.3">
      <c r="A3" t="s">
        <v>7</v>
      </c>
      <c r="B3">
        <v>16923</v>
      </c>
      <c r="C3">
        <v>177159</v>
      </c>
      <c r="D3">
        <v>4193</v>
      </c>
      <c r="E3">
        <v>198275</v>
      </c>
      <c r="F3" s="3">
        <f t="shared" ref="F3:F26" si="0">B3/$E3</f>
        <v>8.5351153700668259E-2</v>
      </c>
      <c r="G3" s="3">
        <f t="shared" ref="G3:G26" si="1">C3/$E3</f>
        <v>0.89350145000630432</v>
      </c>
      <c r="H3" s="3">
        <f t="shared" ref="H3:H26" si="2">D3/$E3</f>
        <v>2.1147396293027362E-2</v>
      </c>
      <c r="I3">
        <v>1</v>
      </c>
    </row>
    <row r="4" spans="1:9" x14ac:dyDescent="0.3">
      <c r="A4" t="s">
        <v>8</v>
      </c>
      <c r="B4">
        <v>93636</v>
      </c>
      <c r="C4">
        <v>54031</v>
      </c>
      <c r="D4">
        <v>23873</v>
      </c>
      <c r="E4">
        <v>171540</v>
      </c>
      <c r="F4" s="3">
        <f t="shared" si="0"/>
        <v>0.54585519412381955</v>
      </c>
      <c r="G4" s="3">
        <f t="shared" si="1"/>
        <v>0.31497609886906847</v>
      </c>
      <c r="H4" s="3">
        <f t="shared" si="2"/>
        <v>0.13916870700711204</v>
      </c>
      <c r="I4">
        <v>0</v>
      </c>
    </row>
    <row r="5" spans="1:9" x14ac:dyDescent="0.3">
      <c r="A5" t="s">
        <v>9</v>
      </c>
      <c r="B5">
        <v>70983</v>
      </c>
      <c r="C5">
        <v>43801</v>
      </c>
      <c r="D5">
        <v>40977</v>
      </c>
      <c r="E5">
        <v>155761</v>
      </c>
      <c r="F5" s="3">
        <f t="shared" si="0"/>
        <v>0.45571741321640208</v>
      </c>
      <c r="G5" s="3">
        <f t="shared" si="1"/>
        <v>0.2812064637489487</v>
      </c>
      <c r="H5" s="3">
        <f t="shared" si="2"/>
        <v>0.26307612303464922</v>
      </c>
      <c r="I5">
        <v>0</v>
      </c>
    </row>
    <row r="6" spans="1:9" x14ac:dyDescent="0.3">
      <c r="A6" t="s">
        <v>10</v>
      </c>
      <c r="B6">
        <v>23970</v>
      </c>
      <c r="C6">
        <v>69755</v>
      </c>
      <c r="D6">
        <v>9215</v>
      </c>
      <c r="E6">
        <v>102940</v>
      </c>
      <c r="F6" s="3">
        <f t="shared" si="0"/>
        <v>0.23285408976102584</v>
      </c>
      <c r="G6" s="3">
        <f t="shared" si="1"/>
        <v>0.67762774431707795</v>
      </c>
      <c r="H6" s="3">
        <f t="shared" si="2"/>
        <v>8.9518165921896251E-2</v>
      </c>
      <c r="I6">
        <v>1</v>
      </c>
    </row>
    <row r="7" spans="1:9" x14ac:dyDescent="0.3">
      <c r="A7" t="s">
        <v>11</v>
      </c>
      <c r="B7">
        <v>64542</v>
      </c>
      <c r="C7">
        <v>23597</v>
      </c>
      <c r="D7">
        <v>9748</v>
      </c>
      <c r="E7">
        <v>97887</v>
      </c>
      <c r="F7" s="3">
        <f t="shared" si="0"/>
        <v>0.65935211008611971</v>
      </c>
      <c r="G7" s="3">
        <f t="shared" si="1"/>
        <v>0.24106367546252311</v>
      </c>
      <c r="H7" s="3">
        <f t="shared" si="2"/>
        <v>9.9584214451357178E-2</v>
      </c>
      <c r="I7">
        <v>0</v>
      </c>
    </row>
    <row r="8" spans="1:9" x14ac:dyDescent="0.3">
      <c r="A8" t="s">
        <v>12</v>
      </c>
      <c r="B8">
        <v>61151</v>
      </c>
      <c r="C8">
        <v>24223</v>
      </c>
      <c r="D8">
        <v>4590</v>
      </c>
      <c r="E8">
        <v>89964</v>
      </c>
      <c r="F8" s="3">
        <f t="shared" si="0"/>
        <v>0.67972744653416928</v>
      </c>
      <c r="G8" s="3">
        <f t="shared" si="1"/>
        <v>0.26925214530256547</v>
      </c>
      <c r="H8" s="3">
        <f t="shared" si="2"/>
        <v>5.1020408163265307E-2</v>
      </c>
      <c r="I8">
        <v>0</v>
      </c>
    </row>
    <row r="9" spans="1:9" x14ac:dyDescent="0.3">
      <c r="A9" t="s">
        <v>13</v>
      </c>
      <c r="B9">
        <v>62764</v>
      </c>
      <c r="C9">
        <v>17142</v>
      </c>
      <c r="D9">
        <v>7644</v>
      </c>
      <c r="E9">
        <v>87550</v>
      </c>
      <c r="F9" s="3">
        <f t="shared" si="0"/>
        <v>0.7168932038834952</v>
      </c>
      <c r="G9" s="3">
        <f t="shared" si="1"/>
        <v>0.19579668760708166</v>
      </c>
      <c r="H9" s="3">
        <f t="shared" si="2"/>
        <v>8.7310108509423182E-2</v>
      </c>
      <c r="I9">
        <v>0</v>
      </c>
    </row>
    <row r="10" spans="1:9" x14ac:dyDescent="0.3">
      <c r="A10" t="s">
        <v>14</v>
      </c>
      <c r="B10">
        <v>61707</v>
      </c>
      <c r="C10">
        <v>16576</v>
      </c>
      <c r="D10">
        <v>9094</v>
      </c>
      <c r="E10">
        <v>87377</v>
      </c>
      <c r="F10" s="3">
        <f t="shared" si="0"/>
        <v>0.70621559449282989</v>
      </c>
      <c r="G10" s="3">
        <f t="shared" si="1"/>
        <v>0.18970667338086683</v>
      </c>
      <c r="H10" s="3">
        <f t="shared" si="2"/>
        <v>0.10407773212630327</v>
      </c>
      <c r="I10">
        <v>0</v>
      </c>
    </row>
    <row r="11" spans="1:9" x14ac:dyDescent="0.3">
      <c r="A11" t="s">
        <v>15</v>
      </c>
      <c r="B11">
        <v>66675</v>
      </c>
      <c r="C11">
        <v>11098</v>
      </c>
      <c r="D11">
        <v>6877</v>
      </c>
      <c r="E11">
        <v>84650</v>
      </c>
      <c r="F11" s="3">
        <f t="shared" si="0"/>
        <v>0.78765505020673365</v>
      </c>
      <c r="G11" s="3">
        <f t="shared" si="1"/>
        <v>0.13110454813939751</v>
      </c>
      <c r="H11" s="3">
        <f t="shared" si="2"/>
        <v>8.1240401653868866E-2</v>
      </c>
      <c r="I11">
        <v>0</v>
      </c>
    </row>
    <row r="12" spans="1:9" x14ac:dyDescent="0.3">
      <c r="A12" t="s">
        <v>16</v>
      </c>
      <c r="B12">
        <v>52033</v>
      </c>
      <c r="C12">
        <v>18369</v>
      </c>
      <c r="D12">
        <v>6609</v>
      </c>
      <c r="E12">
        <v>77011</v>
      </c>
      <c r="F12" s="3">
        <f t="shared" si="0"/>
        <v>0.67565672436405189</v>
      </c>
      <c r="G12" s="3">
        <f t="shared" si="1"/>
        <v>0.23852436664892029</v>
      </c>
      <c r="H12" s="3">
        <f t="shared" si="2"/>
        <v>8.5818908987027834E-2</v>
      </c>
      <c r="I12">
        <v>0</v>
      </c>
    </row>
    <row r="13" spans="1:9" x14ac:dyDescent="0.3">
      <c r="A13" t="s">
        <v>17</v>
      </c>
      <c r="B13">
        <v>47245</v>
      </c>
      <c r="C13">
        <v>8416</v>
      </c>
      <c r="D13">
        <v>8262</v>
      </c>
      <c r="E13">
        <v>63923</v>
      </c>
      <c r="F13" s="3">
        <f t="shared" si="0"/>
        <v>0.73909234547815339</v>
      </c>
      <c r="G13" s="3">
        <f t="shared" si="1"/>
        <v>0.13165840151432193</v>
      </c>
      <c r="H13" s="3">
        <f t="shared" si="2"/>
        <v>0.12924925300752468</v>
      </c>
      <c r="I13">
        <v>0</v>
      </c>
    </row>
    <row r="14" spans="1:9" x14ac:dyDescent="0.3">
      <c r="A14" t="s">
        <v>18</v>
      </c>
      <c r="B14">
        <v>41811</v>
      </c>
      <c r="C14">
        <v>7765</v>
      </c>
      <c r="D14">
        <v>442</v>
      </c>
      <c r="E14">
        <v>50018</v>
      </c>
      <c r="F14" s="3">
        <f t="shared" si="0"/>
        <v>0.83591906913511138</v>
      </c>
      <c r="G14" s="3">
        <f t="shared" si="1"/>
        <v>0.15524411211963693</v>
      </c>
      <c r="H14" s="3">
        <f t="shared" si="2"/>
        <v>8.8368187452517091E-3</v>
      </c>
      <c r="I14">
        <v>0</v>
      </c>
    </row>
    <row r="15" spans="1:9" x14ac:dyDescent="0.3">
      <c r="A15" t="s">
        <v>19</v>
      </c>
      <c r="B15">
        <v>29854</v>
      </c>
      <c r="C15">
        <v>5914</v>
      </c>
      <c r="D15">
        <v>4051</v>
      </c>
      <c r="E15">
        <v>39819</v>
      </c>
      <c r="F15" s="3">
        <f t="shared" si="0"/>
        <v>0.74974258519802106</v>
      </c>
      <c r="G15" s="3">
        <f t="shared" si="1"/>
        <v>0.14852206233205253</v>
      </c>
      <c r="H15" s="3">
        <f t="shared" si="2"/>
        <v>0.10173535246992642</v>
      </c>
      <c r="I15">
        <v>0</v>
      </c>
    </row>
    <row r="16" spans="1:9" x14ac:dyDescent="0.3">
      <c r="A16" t="s">
        <v>20</v>
      </c>
      <c r="B16">
        <v>13868</v>
      </c>
      <c r="C16">
        <v>18299</v>
      </c>
      <c r="D16">
        <v>5230</v>
      </c>
      <c r="E16">
        <v>37397</v>
      </c>
      <c r="F16" s="3">
        <f t="shared" si="0"/>
        <v>0.3708318849105543</v>
      </c>
      <c r="G16" s="3">
        <f t="shared" si="1"/>
        <v>0.48931732491911117</v>
      </c>
      <c r="H16" s="3">
        <f t="shared" si="2"/>
        <v>0.13985079017033453</v>
      </c>
      <c r="I16">
        <v>1</v>
      </c>
    </row>
    <row r="17" spans="1:9" x14ac:dyDescent="0.3">
      <c r="A17" t="s">
        <v>21</v>
      </c>
      <c r="B17">
        <v>13695</v>
      </c>
      <c r="C17">
        <v>11591</v>
      </c>
      <c r="D17">
        <v>11216</v>
      </c>
      <c r="E17">
        <v>36502</v>
      </c>
      <c r="F17" s="3">
        <f t="shared" si="0"/>
        <v>0.37518492137417125</v>
      </c>
      <c r="G17" s="3">
        <f t="shared" si="1"/>
        <v>0.31754424415100541</v>
      </c>
      <c r="H17" s="3">
        <f t="shared" si="2"/>
        <v>0.30727083447482328</v>
      </c>
      <c r="I17">
        <v>0</v>
      </c>
    </row>
    <row r="18" spans="1:9" x14ac:dyDescent="0.3">
      <c r="A18" t="s">
        <v>22</v>
      </c>
      <c r="B18">
        <v>26460</v>
      </c>
      <c r="C18">
        <v>6599</v>
      </c>
      <c r="D18">
        <v>3123</v>
      </c>
      <c r="E18">
        <v>36182</v>
      </c>
      <c r="F18" s="3">
        <f t="shared" si="0"/>
        <v>0.73130285777458404</v>
      </c>
      <c r="G18" s="3">
        <f t="shared" si="1"/>
        <v>0.18238350561052458</v>
      </c>
      <c r="H18" s="3">
        <f t="shared" si="2"/>
        <v>8.6313636614891387E-2</v>
      </c>
      <c r="I18">
        <v>0</v>
      </c>
    </row>
    <row r="19" spans="1:9" x14ac:dyDescent="0.3">
      <c r="A19" t="s">
        <v>23</v>
      </c>
      <c r="B19">
        <v>11945</v>
      </c>
      <c r="C19">
        <v>15776</v>
      </c>
      <c r="D19">
        <v>5222</v>
      </c>
      <c r="E19">
        <v>32943</v>
      </c>
      <c r="F19" s="3">
        <f t="shared" si="0"/>
        <v>0.36259599915004703</v>
      </c>
      <c r="G19" s="3">
        <f t="shared" si="1"/>
        <v>0.47888777585526515</v>
      </c>
      <c r="H19" s="3">
        <f t="shared" si="2"/>
        <v>0.15851622499468779</v>
      </c>
      <c r="I19">
        <v>1</v>
      </c>
    </row>
    <row r="20" spans="1:9" x14ac:dyDescent="0.3">
      <c r="A20" t="s">
        <v>24</v>
      </c>
      <c r="B20">
        <v>21840</v>
      </c>
      <c r="C20">
        <v>5003</v>
      </c>
      <c r="D20">
        <v>3640</v>
      </c>
      <c r="E20">
        <v>30483</v>
      </c>
      <c r="F20" s="3">
        <f t="shared" si="0"/>
        <v>0.71646491487058361</v>
      </c>
      <c r="G20" s="3">
        <f t="shared" si="1"/>
        <v>0.16412426598431912</v>
      </c>
      <c r="H20" s="3">
        <f t="shared" si="2"/>
        <v>0.11941081914509727</v>
      </c>
      <c r="I20">
        <v>0</v>
      </c>
    </row>
    <row r="21" spans="1:9" x14ac:dyDescent="0.3">
      <c r="A21" t="s">
        <v>25</v>
      </c>
      <c r="B21">
        <v>27544</v>
      </c>
      <c r="C21">
        <v>1840</v>
      </c>
      <c r="D21">
        <v>1016</v>
      </c>
      <c r="E21">
        <v>30400</v>
      </c>
      <c r="F21" s="3">
        <f t="shared" si="0"/>
        <v>0.90605263157894733</v>
      </c>
      <c r="G21" s="3">
        <f t="shared" si="1"/>
        <v>6.0526315789473685E-2</v>
      </c>
      <c r="H21" s="3">
        <f t="shared" si="2"/>
        <v>3.3421052631578949E-2</v>
      </c>
      <c r="I21">
        <v>0</v>
      </c>
    </row>
    <row r="22" spans="1:9" x14ac:dyDescent="0.3">
      <c r="A22" t="s">
        <v>26</v>
      </c>
      <c r="B22">
        <v>10425</v>
      </c>
      <c r="C22">
        <v>8841</v>
      </c>
      <c r="D22">
        <v>7759</v>
      </c>
      <c r="E22">
        <v>27025</v>
      </c>
      <c r="F22" s="3">
        <f t="shared" si="0"/>
        <v>0.38575393154486587</v>
      </c>
      <c r="G22" s="3">
        <f t="shared" si="1"/>
        <v>0.32714153561517112</v>
      </c>
      <c r="H22" s="3">
        <f t="shared" si="2"/>
        <v>0.28710453283996301</v>
      </c>
      <c r="I22">
        <v>0</v>
      </c>
    </row>
    <row r="23" spans="1:9" x14ac:dyDescent="0.3">
      <c r="A23" t="s">
        <v>27</v>
      </c>
      <c r="B23">
        <v>8617</v>
      </c>
      <c r="C23">
        <v>10693</v>
      </c>
      <c r="D23">
        <v>7674</v>
      </c>
      <c r="E23">
        <v>26984</v>
      </c>
      <c r="F23" s="3">
        <f t="shared" si="0"/>
        <v>0.31933738511710641</v>
      </c>
      <c r="G23" s="3">
        <f t="shared" si="1"/>
        <v>0.39627186480877558</v>
      </c>
      <c r="H23" s="3">
        <f t="shared" si="2"/>
        <v>0.28439075007411801</v>
      </c>
      <c r="I23">
        <v>1</v>
      </c>
    </row>
    <row r="24" spans="1:9" x14ac:dyDescent="0.3">
      <c r="A24" t="s">
        <v>28</v>
      </c>
      <c r="B24">
        <v>23202</v>
      </c>
      <c r="C24">
        <v>2172</v>
      </c>
      <c r="D24">
        <v>1410</v>
      </c>
      <c r="E24">
        <v>26784</v>
      </c>
      <c r="F24" s="3">
        <f t="shared" si="0"/>
        <v>0.86626344086021501</v>
      </c>
      <c r="G24" s="3">
        <f t="shared" si="1"/>
        <v>8.1093189964157708E-2</v>
      </c>
      <c r="H24" s="3">
        <f t="shared" si="2"/>
        <v>5.2643369175627237E-2</v>
      </c>
      <c r="I24">
        <v>0</v>
      </c>
    </row>
    <row r="25" spans="1:9" x14ac:dyDescent="0.3">
      <c r="A25" t="s">
        <v>29</v>
      </c>
      <c r="B25">
        <v>13764</v>
      </c>
      <c r="C25">
        <v>8995</v>
      </c>
      <c r="D25">
        <v>3855</v>
      </c>
      <c r="E25">
        <v>26614</v>
      </c>
      <c r="F25" s="3">
        <f t="shared" si="0"/>
        <v>0.5171714135417449</v>
      </c>
      <c r="G25" s="3">
        <f t="shared" si="1"/>
        <v>0.33798001052077853</v>
      </c>
      <c r="H25" s="3">
        <f t="shared" si="2"/>
        <v>0.14484857593747652</v>
      </c>
      <c r="I25">
        <v>0</v>
      </c>
    </row>
    <row r="26" spans="1:9" x14ac:dyDescent="0.3">
      <c r="A26" t="s">
        <v>30</v>
      </c>
      <c r="B26">
        <v>15114</v>
      </c>
      <c r="C26">
        <v>6181</v>
      </c>
      <c r="D26">
        <v>3329</v>
      </c>
      <c r="E26">
        <v>24624</v>
      </c>
      <c r="F26" s="3">
        <f t="shared" si="0"/>
        <v>0.61379142300194933</v>
      </c>
      <c r="G26" s="3">
        <f t="shared" si="1"/>
        <v>0.25101526965562054</v>
      </c>
      <c r="H26" s="3">
        <f t="shared" si="2"/>
        <v>0.13519330734243015</v>
      </c>
      <c r="I26">
        <v>0</v>
      </c>
    </row>
    <row r="27" spans="1:9" x14ac:dyDescent="0.3">
      <c r="F27" s="4">
        <f>AVERAGE(F2:F26)</f>
        <v>0.59018902553988362</v>
      </c>
      <c r="G27" s="4">
        <f t="shared" ref="G27:H27" si="3">AVERAGE(G2:G26)</f>
        <v>0.28399182352865032</v>
      </c>
      <c r="H27" s="4">
        <f t="shared" si="3"/>
        <v>0.12581915093146587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71675-285F-444A-B2C5-DE8D1C04E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Raposo</dc:creator>
  <cp:lastModifiedBy>Paulo Raposo</cp:lastModifiedBy>
  <dcterms:created xsi:type="dcterms:W3CDTF">2015-06-05T18:17:20Z</dcterms:created>
  <dcterms:modified xsi:type="dcterms:W3CDTF">2026-04-23T18:37:59Z</dcterms:modified>
</cp:coreProperties>
</file>